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um\Documents\work\micon\KiCad\projects\tenkey_lefthand_device1\"/>
    </mc:Choice>
  </mc:AlternateContent>
  <xr:revisionPtr revIDLastSave="0" documentId="8_{0E6683F5-77BE-4205-8218-DFB890E79FA9}" xr6:coauthVersionLast="47" xr6:coauthVersionMax="47" xr10:uidLastSave="{00000000-0000-0000-0000-000000000000}"/>
  <bookViews>
    <workbookView xWindow="-108" yWindow="-108" windowWidth="30936" windowHeight="16776" xr2:uid="{658AB455-9032-4D91-8D2D-81FE767CB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6" i="1"/>
  <c r="F20" i="1"/>
  <c r="F8" i="1"/>
  <c r="E21" i="1"/>
  <c r="E17" i="1"/>
  <c r="F21" i="1"/>
  <c r="J21" i="1" s="1"/>
  <c r="F17" i="1"/>
  <c r="J7" i="1"/>
  <c r="J8" i="1"/>
  <c r="J9" i="1"/>
  <c r="J10" i="1"/>
  <c r="J11" i="1"/>
  <c r="J14" i="1"/>
  <c r="J15" i="1"/>
  <c r="J17" i="1"/>
  <c r="J18" i="1"/>
  <c r="J19" i="1"/>
  <c r="J6" i="1"/>
  <c r="F12" i="1"/>
  <c r="F13" i="1" s="1"/>
  <c r="J13" i="1" s="1"/>
  <c r="F9" i="1"/>
  <c r="F18" i="1"/>
  <c r="F14" i="1"/>
  <c r="F10" i="1"/>
  <c r="F7" i="1"/>
  <c r="F15" i="1"/>
  <c r="F19" i="1" s="1"/>
  <c r="F11" i="1"/>
  <c r="C5" i="1"/>
  <c r="E13" i="1"/>
  <c r="E9" i="1"/>
  <c r="E20" i="1"/>
  <c r="E16" i="1"/>
  <c r="E12" i="1"/>
  <c r="E8" i="1"/>
  <c r="E7" i="1"/>
  <c r="E19" i="1"/>
  <c r="E15" i="1"/>
  <c r="E11" i="1"/>
  <c r="C4" i="1"/>
  <c r="C3" i="1"/>
  <c r="F16" i="1" l="1"/>
  <c r="J12" i="1"/>
  <c r="J20" i="1" l="1"/>
  <c r="J16" i="1"/>
</calcChain>
</file>

<file path=xl/sharedStrings.xml><?xml version="1.0" encoding="utf-8"?>
<sst xmlns="http://schemas.openxmlformats.org/spreadsheetml/2006/main" count="41" uniqueCount="39">
  <si>
    <t>SW1</t>
    <phoneticPr fontId="1"/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</si>
  <si>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</si>
  <si>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</si>
  <si>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</si>
  <si>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</si>
  <si>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</si>
  <si>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</si>
  <si>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</si>
  <si>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</si>
  <si>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</si>
  <si>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</si>
  <si>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</si>
  <si>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</si>
  <si>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</si>
  <si>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</si>
  <si>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</si>
  <si>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X</t>
    <phoneticPr fontId="1"/>
  </si>
  <si>
    <t>Y</t>
    <phoneticPr fontId="1"/>
  </si>
  <si>
    <t>1u</t>
    <phoneticPr fontId="1"/>
  </si>
  <si>
    <t>0.5u</t>
    <phoneticPr fontId="1"/>
  </si>
  <si>
    <t>0.25u</t>
    <phoneticPr fontId="1"/>
  </si>
  <si>
    <t>単位：mm</t>
    <rPh sb="0" eb="2">
      <t>タンイ</t>
    </rPh>
    <phoneticPr fontId="1"/>
  </si>
  <si>
    <t>0.75u</t>
    <phoneticPr fontId="1"/>
  </si>
  <si>
    <t>D1</t>
    <phoneticPr fontId="1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</si>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</sst>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91E3-43CF-4463-9288-9FE274576143}">
  <dimension ref="B2:J21"/>
  <sheetViews>
    <sheetView tabSelected="1" topLeftCell="E3" zoomScale="130" zoomScaleNormal="130" workbookViewId="0">
      <selection activeCell="H12" sqref="H12"/>
    </sheetView>
  </sheetViews>
  <sheetFormatPr defaultRowHeight="18" x14ac:dyDescent="0.45"/>
  <cols>
    <col min="5" max="5" width="10" bestFit="1" customWidth="1"/>
    <col min="6" max="6" width="9.59765625" bestFit="1" customWidth="1"/>
    <col min="9" max="10" width="9.59765625" bestFit="1" customWidth="1"/>
  </cols>
  <sheetData>
    <row r="2" spans="2:10" x14ac:dyDescent="0.45">
      <c r="B2" t="s">
        <v>18</v>
      </c>
      <c r="C2">
        <v>19.05</v>
      </c>
      <c r="E2" t="s">
        <v>21</v>
      </c>
    </row>
    <row r="3" spans="2:10" x14ac:dyDescent="0.45">
      <c r="B3" t="s">
        <v>19</v>
      </c>
      <c r="C3">
        <f>($C$2*0.5)</f>
        <v>9.5250000000000004</v>
      </c>
    </row>
    <row r="4" spans="2:10" x14ac:dyDescent="0.45">
      <c r="B4" t="s">
        <v>20</v>
      </c>
      <c r="C4">
        <f>($C$2 * 0.25)</f>
        <v>4.7625000000000002</v>
      </c>
    </row>
    <row r="5" spans="2:10" x14ac:dyDescent="0.45">
      <c r="B5" t="s">
        <v>22</v>
      </c>
      <c r="C5">
        <f>($C$2*0.75)</f>
        <v>14.287500000000001</v>
      </c>
      <c r="E5" t="s">
        <v>16</v>
      </c>
      <c r="F5" t="s">
        <v>17</v>
      </c>
      <c r="I5" t="s">
        <v>16</v>
      </c>
      <c r="J5" t="s">
        <v>17</v>
      </c>
    </row>
    <row r="6" spans="2:10" x14ac:dyDescent="0.45">
      <c r="D6" t="s">
        <v>0</v>
      </c>
      <c r="E6">
        <v>100</v>
      </c>
      <c r="F6">
        <v>100</v>
      </c>
      <c r="H6" t="s">
        <v>23</v>
      </c>
      <c r="I6">
        <f>E6-10</f>
        <v>90</v>
      </c>
      <c r="J6">
        <f>F6+4.5</f>
        <v>104.5</v>
      </c>
    </row>
    <row r="7" spans="2:10" x14ac:dyDescent="0.45">
      <c r="D7" t="s">
        <v>1</v>
      </c>
      <c r="E7">
        <f>($E$6+$C$2)</f>
        <v>119.05</v>
      </c>
      <c r="F7">
        <f>($F$6-$C$4)</f>
        <v>95.237499999999997</v>
      </c>
      <c r="H7" t="s">
        <v>24</v>
      </c>
      <c r="I7">
        <f t="shared" ref="I7:I21" si="0">E7-10</f>
        <v>109.05</v>
      </c>
      <c r="J7">
        <f t="shared" ref="J7:J21" si="1">F7+4.5</f>
        <v>99.737499999999997</v>
      </c>
    </row>
    <row r="8" spans="2:10" x14ac:dyDescent="0.45">
      <c r="D8" t="s">
        <v>2</v>
      </c>
      <c r="E8">
        <f>($E$6+2*$C$2)</f>
        <v>138.1</v>
      </c>
      <c r="F8">
        <f>($F$6-$C$3)</f>
        <v>90.474999999999994</v>
      </c>
      <c r="H8" t="s">
        <v>25</v>
      </c>
      <c r="I8">
        <f t="shared" si="0"/>
        <v>128.1</v>
      </c>
      <c r="J8">
        <f t="shared" si="1"/>
        <v>94.974999999999994</v>
      </c>
    </row>
    <row r="9" spans="2:10" x14ac:dyDescent="0.45">
      <c r="D9" t="s">
        <v>3</v>
      </c>
      <c r="E9">
        <f>($E$6+3*$C$2)</f>
        <v>157.15</v>
      </c>
      <c r="F9">
        <f>F8</f>
        <v>90.474999999999994</v>
      </c>
      <c r="H9" t="s">
        <v>26</v>
      </c>
      <c r="I9">
        <f t="shared" si="0"/>
        <v>147.15</v>
      </c>
      <c r="J9">
        <f t="shared" si="1"/>
        <v>94.974999999999994</v>
      </c>
    </row>
    <row r="10" spans="2:10" x14ac:dyDescent="0.45">
      <c r="D10" t="s">
        <v>4</v>
      </c>
      <c r="E10">
        <v>100</v>
      </c>
      <c r="F10">
        <f>($F6+$C$2)</f>
        <v>119.05</v>
      </c>
      <c r="H10" t="s">
        <v>27</v>
      </c>
      <c r="I10">
        <f t="shared" si="0"/>
        <v>90</v>
      </c>
      <c r="J10">
        <f t="shared" si="1"/>
        <v>123.55</v>
      </c>
    </row>
    <row r="11" spans="2:10" x14ac:dyDescent="0.45">
      <c r="D11" t="s">
        <v>5</v>
      </c>
      <c r="E11">
        <f>($E$6+$C$2)</f>
        <v>119.05</v>
      </c>
      <c r="F11">
        <f>($F7+$C$2)</f>
        <v>114.28749999999999</v>
      </c>
      <c r="H11" t="s">
        <v>28</v>
      </c>
      <c r="I11">
        <f t="shared" si="0"/>
        <v>109.05</v>
      </c>
      <c r="J11">
        <f t="shared" si="1"/>
        <v>118.78749999999999</v>
      </c>
    </row>
    <row r="12" spans="2:10" x14ac:dyDescent="0.45">
      <c r="D12" t="s">
        <v>6</v>
      </c>
      <c r="E12">
        <f>($E$6+2*$C$2)</f>
        <v>138.1</v>
      </c>
      <c r="F12">
        <f>F8+$C$2</f>
        <v>109.52499999999999</v>
      </c>
      <c r="H12" t="s">
        <v>29</v>
      </c>
      <c r="I12">
        <f t="shared" si="0"/>
        <v>128.1</v>
      </c>
      <c r="J12">
        <f t="shared" si="1"/>
        <v>114.02499999999999</v>
      </c>
    </row>
    <row r="13" spans="2:10" x14ac:dyDescent="0.45">
      <c r="D13" t="s">
        <v>7</v>
      </c>
      <c r="E13">
        <f>($E$6+3*$C$2)</f>
        <v>157.15</v>
      </c>
      <c r="F13">
        <f>F12</f>
        <v>109.52499999999999</v>
      </c>
      <c r="H13" t="s">
        <v>30</v>
      </c>
      <c r="I13">
        <f t="shared" si="0"/>
        <v>147.15</v>
      </c>
      <c r="J13">
        <f t="shared" si="1"/>
        <v>114.02499999999999</v>
      </c>
    </row>
    <row r="14" spans="2:10" x14ac:dyDescent="0.45">
      <c r="D14" t="s">
        <v>8</v>
      </c>
      <c r="E14">
        <v>100</v>
      </c>
      <c r="F14">
        <f>($F10+$C$2)</f>
        <v>138.1</v>
      </c>
      <c r="H14" t="s">
        <v>31</v>
      </c>
      <c r="I14">
        <f t="shared" si="0"/>
        <v>90</v>
      </c>
      <c r="J14">
        <f t="shared" si="1"/>
        <v>142.6</v>
      </c>
    </row>
    <row r="15" spans="2:10" x14ac:dyDescent="0.45">
      <c r="D15" t="s">
        <v>9</v>
      </c>
      <c r="E15">
        <f>($E$6+$C$2)</f>
        <v>119.05</v>
      </c>
      <c r="F15">
        <f>($F11+$C$2)</f>
        <v>133.33750000000001</v>
      </c>
      <c r="H15" t="s">
        <v>32</v>
      </c>
      <c r="I15">
        <f t="shared" si="0"/>
        <v>109.05</v>
      </c>
      <c r="J15">
        <f t="shared" si="1"/>
        <v>137.83750000000001</v>
      </c>
    </row>
    <row r="16" spans="2:10" x14ac:dyDescent="0.45">
      <c r="D16" t="s">
        <v>10</v>
      </c>
      <c r="E16">
        <f>($E$6+2*$C$2)</f>
        <v>138.1</v>
      </c>
      <c r="F16">
        <f>F12+$C$2</f>
        <v>128.57499999999999</v>
      </c>
      <c r="H16" t="s">
        <v>33</v>
      </c>
      <c r="I16">
        <f t="shared" si="0"/>
        <v>128.1</v>
      </c>
      <c r="J16">
        <f t="shared" si="1"/>
        <v>133.07499999999999</v>
      </c>
    </row>
    <row r="17" spans="4:10" x14ac:dyDescent="0.45">
      <c r="D17" t="s">
        <v>11</v>
      </c>
      <c r="E17">
        <f>E9+$C$4</f>
        <v>161.91249999999999</v>
      </c>
      <c r="F17">
        <f>F14</f>
        <v>138.1</v>
      </c>
      <c r="H17" t="s">
        <v>34</v>
      </c>
      <c r="I17">
        <f t="shared" si="0"/>
        <v>151.91249999999999</v>
      </c>
      <c r="J17">
        <f t="shared" si="1"/>
        <v>142.6</v>
      </c>
    </row>
    <row r="18" spans="4:10" x14ac:dyDescent="0.45">
      <c r="D18" t="s">
        <v>12</v>
      </c>
      <c r="E18">
        <v>100</v>
      </c>
      <c r="F18">
        <f>($F14+$C$2)</f>
        <v>157.15</v>
      </c>
      <c r="H18" t="s">
        <v>35</v>
      </c>
      <c r="I18">
        <f t="shared" si="0"/>
        <v>90</v>
      </c>
      <c r="J18">
        <f t="shared" si="1"/>
        <v>161.65</v>
      </c>
    </row>
    <row r="19" spans="4:10" x14ac:dyDescent="0.45">
      <c r="D19" t="s">
        <v>13</v>
      </c>
      <c r="E19">
        <f>($E$6+$C$2)</f>
        <v>119.05</v>
      </c>
      <c r="F19">
        <f>($F15+$C$2)</f>
        <v>152.38750000000002</v>
      </c>
      <c r="H19" t="s">
        <v>36</v>
      </c>
      <c r="I19">
        <f t="shared" si="0"/>
        <v>109.05</v>
      </c>
      <c r="J19">
        <f t="shared" si="1"/>
        <v>156.88750000000002</v>
      </c>
    </row>
    <row r="20" spans="4:10" x14ac:dyDescent="0.45">
      <c r="D20" t="s">
        <v>14</v>
      </c>
      <c r="E20">
        <f>($E$6+2*$C$2)</f>
        <v>138.1</v>
      </c>
      <c r="F20">
        <f>F16+$C$2</f>
        <v>147.625</v>
      </c>
      <c r="H20" t="s">
        <v>37</v>
      </c>
      <c r="I20">
        <f t="shared" si="0"/>
        <v>128.1</v>
      </c>
      <c r="J20">
        <f t="shared" si="1"/>
        <v>152.125</v>
      </c>
    </row>
    <row r="21" spans="4:10" x14ac:dyDescent="0.45">
      <c r="D21" t="s">
        <v>15</v>
      </c>
      <c r="E21">
        <f>E13+$C$4</f>
        <v>161.91249999999999</v>
      </c>
      <c r="F21">
        <f>F18</f>
        <v>157.15</v>
      </c>
      <c r="H21" t="s">
        <v>38</v>
      </c>
      <c r="I21">
        <f t="shared" si="0"/>
        <v>151.91249999999999</v>
      </c>
      <c r="J21">
        <f t="shared" si="1"/>
        <v>161.65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大山 拓真</dc:creator>
  <cp:lastModifiedBy>大山 拓真</cp:lastModifiedBy>
  <dcterms:created xsi:type="dcterms:W3CDTF">2026-09-09T05:06:32Z</dcterms:created>
  <dcterms:modified xsi:type="dcterms:W3CDTF">2026-09-09T07:38:33Z</dcterms:modified>
</cp:coreProperties>
</file>